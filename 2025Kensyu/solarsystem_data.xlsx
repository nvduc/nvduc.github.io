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htechacjp-my.sharepoint.com/personal/ducnguyen_tohtech_ac_jp/Documents/学科行事/2025_産業研修会/web/"/>
    </mc:Choice>
  </mc:AlternateContent>
  <xr:revisionPtr revIDLastSave="15" documentId="8_{D67A159C-6C1D-4462-9672-1533980FF089}" xr6:coauthVersionLast="47" xr6:coauthVersionMax="47" xr10:uidLastSave="{66ABAC04-4813-B546-B3F6-D75834985088}"/>
  <bookViews>
    <workbookView xWindow="0" yWindow="680" windowWidth="25600" windowHeight="14640" xr2:uid="{E8404DB0-ED0B-4A4B-95EE-4ED8F3DAB17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6" i="1"/>
  <c r="L5" i="1"/>
  <c r="M9" i="1"/>
  <c r="M3" i="1"/>
  <c r="N3" i="1"/>
  <c r="M4" i="1"/>
  <c r="N4" i="1"/>
  <c r="M5" i="1"/>
  <c r="N5" i="1"/>
  <c r="M6" i="1"/>
  <c r="N6" i="1"/>
  <c r="M7" i="1"/>
  <c r="N7" i="1"/>
  <c r="M8" i="1"/>
  <c r="N8" i="1"/>
  <c r="N9" i="1"/>
  <c r="M2" i="1"/>
  <c r="N2" i="1"/>
  <c r="J5" i="1"/>
  <c r="J4" i="1"/>
  <c r="L4" i="1"/>
  <c r="L3" i="1"/>
  <c r="K4" i="1"/>
  <c r="I3" i="1"/>
  <c r="J3" i="1"/>
  <c r="K3" i="1"/>
  <c r="I4" i="1"/>
  <c r="I5" i="1"/>
  <c r="K5" i="1"/>
  <c r="I6" i="1"/>
  <c r="J6" i="1"/>
  <c r="L6" i="1"/>
  <c r="I7" i="1"/>
  <c r="J7" i="1"/>
  <c r="K7" i="1"/>
  <c r="L7" i="1"/>
  <c r="I8" i="1"/>
  <c r="J8" i="1"/>
  <c r="K8" i="1"/>
  <c r="L8" i="1"/>
  <c r="I9" i="1"/>
  <c r="K9" i="1"/>
  <c r="L9" i="1"/>
  <c r="L2" i="1"/>
  <c r="K2" i="1"/>
  <c r="J2" i="1"/>
  <c r="I2" i="1"/>
</calcChain>
</file>

<file path=xl/sharedStrings.xml><?xml version="1.0" encoding="utf-8"?>
<sst xmlns="http://schemas.openxmlformats.org/spreadsheetml/2006/main" count="19" uniqueCount="16">
  <si>
    <t>名前</t>
  </si>
  <si>
    <t>半径</t>
  </si>
  <si>
    <t>軌道長半径</t>
  </si>
  <si>
    <t>水星</t>
  </si>
  <si>
    <t>金星</t>
  </si>
  <si>
    <t>地球</t>
  </si>
  <si>
    <t>火星</t>
  </si>
  <si>
    <t>木星</t>
  </si>
  <si>
    <t>土星</t>
  </si>
  <si>
    <t>天王星</t>
  </si>
  <si>
    <t>海王星</t>
  </si>
  <si>
    <t>公転周期</t>
  </si>
  <si>
    <t>自転周期</t>
  </si>
  <si>
    <t>軌道内半径</t>
    <rPh sb="0" eb="2">
      <t>キドウ</t>
    </rPh>
    <rPh sb="2" eb="5">
      <t>ナイハンケイ</t>
    </rPh>
    <phoneticPr fontId="1"/>
  </si>
  <si>
    <t>軌道外半径</t>
    <rPh sb="2" eb="3">
      <t>ガイ</t>
    </rPh>
    <rPh sb="3" eb="5">
      <t>ハンケイ</t>
    </rPh>
    <phoneticPr fontId="1"/>
  </si>
  <si>
    <t>軌道長半径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</si>
</sst>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2662-8F71-4F40-A456-A84DB36D5E1C}">
  <dimension ref="A1:N9"/>
  <sheetViews>
    <sheetView tabSelected="1" topLeftCell="B1" workbookViewId="0">
      <selection activeCell="L9" sqref="L9"/>
    </sheetView>
  </sheetViews>
  <sheetFormatPr baseColWidth="10" defaultColWidth="8.83203125" defaultRowHeight="15" x14ac:dyDescent="0.2"/>
  <cols>
    <col min="4" max="4" width="14.33203125" customWidth="1"/>
    <col min="5" max="6" width="14.1640625" customWidth="1"/>
    <col min="10" max="10" width="12.1640625" customWidth="1"/>
    <col min="11" max="11" width="13.33203125" customWidth="1"/>
    <col min="12" max="12" width="9.5" bestFit="1" customWidth="1"/>
    <col min="13" max="13" width="11.5" customWidth="1"/>
  </cols>
  <sheetData>
    <row r="1" spans="1:14" x14ac:dyDescent="0.2">
      <c r="A1" t="s">
        <v>0</v>
      </c>
      <c r="C1" t="s">
        <v>1</v>
      </c>
      <c r="D1" t="s">
        <v>15</v>
      </c>
      <c r="E1" t="s">
        <v>11</v>
      </c>
      <c r="F1" t="s">
        <v>12</v>
      </c>
      <c r="I1" t="s">
        <v>1</v>
      </c>
      <c r="J1" t="s">
        <v>2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">
      <c r="A2">
        <v>1</v>
      </c>
      <c r="B2" t="s">
        <v>3</v>
      </c>
      <c r="C2" s="2">
        <v>2439.6999999999998</v>
      </c>
      <c r="D2">
        <v>0.38700000000000001</v>
      </c>
      <c r="E2">
        <v>0.24099999999999999</v>
      </c>
      <c r="F2">
        <v>58.65</v>
      </c>
      <c r="I2" s="3">
        <f>C2/$C$4</f>
        <v>0.38251203336416795</v>
      </c>
      <c r="J2" s="3">
        <f>D2/$D$4*10</f>
        <v>3.87</v>
      </c>
      <c r="K2" s="3">
        <f>E2/$E$4*365000</f>
        <v>87965</v>
      </c>
      <c r="L2" s="3">
        <f>F2/$F$4*1000</f>
        <v>58810.493837683032</v>
      </c>
      <c r="M2" s="3">
        <f>J2</f>
        <v>3.87</v>
      </c>
      <c r="N2" s="3">
        <f>M2+0.1</f>
        <v>3.97</v>
      </c>
    </row>
    <row r="3" spans="1:14" x14ac:dyDescent="0.2">
      <c r="A3">
        <v>2</v>
      </c>
      <c r="B3" t="s">
        <v>4</v>
      </c>
      <c r="C3" s="2">
        <v>6051.8</v>
      </c>
      <c r="D3">
        <v>0.72299999999999998</v>
      </c>
      <c r="E3">
        <v>0.61499999999999999</v>
      </c>
      <c r="F3">
        <v>243.018</v>
      </c>
      <c r="I3" s="3">
        <f t="shared" ref="I3:J9" si="0">C3/$C$4</f>
        <v>0.94884056380426773</v>
      </c>
      <c r="J3" s="3">
        <f t="shared" ref="J3:K9" si="1">D3/$D$4*10</f>
        <v>7.2299999999999995</v>
      </c>
      <c r="K3" s="3">
        <f t="shared" ref="K3:K9" si="2">E3/$E$4*365000</f>
        <v>224475</v>
      </c>
      <c r="L3" s="3">
        <f>F3/$F$4*1000</f>
        <v>243683.01093684664</v>
      </c>
      <c r="M3" s="3">
        <f t="shared" ref="M3:M8" si="3">J3</f>
        <v>7.2299999999999995</v>
      </c>
      <c r="N3" s="3">
        <f t="shared" ref="N3:N9" si="4">M3+0.1</f>
        <v>7.3299999999999992</v>
      </c>
    </row>
    <row r="4" spans="1:14" x14ac:dyDescent="0.2">
      <c r="A4">
        <v>3</v>
      </c>
      <c r="B4" t="s">
        <v>5</v>
      </c>
      <c r="C4" s="2">
        <v>6378.1</v>
      </c>
      <c r="D4">
        <v>1</v>
      </c>
      <c r="E4">
        <v>1</v>
      </c>
      <c r="F4">
        <v>0.99727100000000002</v>
      </c>
      <c r="I4" s="3">
        <f t="shared" si="0"/>
        <v>1</v>
      </c>
      <c r="J4" s="3">
        <f>D4/$D$4*10</f>
        <v>10</v>
      </c>
      <c r="K4" s="3">
        <f>E4/$E$4*365000</f>
        <v>365000</v>
      </c>
      <c r="L4" s="3">
        <f>F4/$F$4*1000</f>
        <v>1000</v>
      </c>
      <c r="M4" s="3">
        <f t="shared" si="3"/>
        <v>10</v>
      </c>
      <c r="N4" s="3">
        <f t="shared" si="4"/>
        <v>10.1</v>
      </c>
    </row>
    <row r="5" spans="1:14" x14ac:dyDescent="0.2">
      <c r="A5">
        <v>4</v>
      </c>
      <c r="B5" t="s">
        <v>6</v>
      </c>
      <c r="C5" s="2">
        <v>3396.2</v>
      </c>
      <c r="D5">
        <v>1.524</v>
      </c>
      <c r="E5">
        <v>1.881</v>
      </c>
      <c r="F5">
        <v>1.0259499999999999</v>
      </c>
      <c r="I5" s="3">
        <f t="shared" si="0"/>
        <v>0.53247832426584718</v>
      </c>
      <c r="J5" s="3">
        <f>D5/$D$4*10</f>
        <v>15.24</v>
      </c>
      <c r="K5" s="3">
        <f t="shared" si="2"/>
        <v>686565</v>
      </c>
      <c r="L5" s="3">
        <f>F5/$F$4*1000</f>
        <v>1028.7574791606294</v>
      </c>
      <c r="M5" s="3">
        <f t="shared" si="3"/>
        <v>15.24</v>
      </c>
      <c r="N5" s="3">
        <f t="shared" si="4"/>
        <v>15.34</v>
      </c>
    </row>
    <row r="6" spans="1:14" x14ac:dyDescent="0.2">
      <c r="A6">
        <v>5</v>
      </c>
      <c r="B6" t="s">
        <v>7</v>
      </c>
      <c r="C6" s="1">
        <v>71492</v>
      </c>
      <c r="D6">
        <v>5.2039999999999997</v>
      </c>
      <c r="E6">
        <v>11.862</v>
      </c>
      <c r="F6">
        <v>0.41349999999999998</v>
      </c>
      <c r="I6" s="3">
        <f t="shared" si="0"/>
        <v>11.208980730938681</v>
      </c>
      <c r="J6" s="3">
        <f t="shared" si="1"/>
        <v>52.04</v>
      </c>
      <c r="K6" s="3">
        <f>E6/$E$4*365000</f>
        <v>4329630</v>
      </c>
      <c r="L6" s="3">
        <f t="shared" ref="L5:L9" si="5">F6/$F$4*1000</f>
        <v>414.63152944385223</v>
      </c>
      <c r="M6" s="3">
        <f t="shared" si="3"/>
        <v>52.04</v>
      </c>
      <c r="N6" s="3">
        <f t="shared" si="4"/>
        <v>52.14</v>
      </c>
    </row>
    <row r="7" spans="1:14" x14ac:dyDescent="0.2">
      <c r="A7">
        <v>6</v>
      </c>
      <c r="B7" t="s">
        <v>8</v>
      </c>
      <c r="C7" s="1">
        <v>60268</v>
      </c>
      <c r="D7">
        <v>9.5820000000000007</v>
      </c>
      <c r="E7">
        <v>29.457000000000001</v>
      </c>
      <c r="F7">
        <v>0.4264</v>
      </c>
      <c r="I7" s="3">
        <f t="shared" si="0"/>
        <v>9.4492090120882395</v>
      </c>
      <c r="J7" s="3">
        <f t="shared" si="1"/>
        <v>95.820000000000007</v>
      </c>
      <c r="K7" s="3">
        <f t="shared" si="2"/>
        <v>10751805</v>
      </c>
      <c r="L7" s="3">
        <f t="shared" si="5"/>
        <v>427.56682987873904</v>
      </c>
      <c r="M7" s="3">
        <f t="shared" si="3"/>
        <v>95.820000000000007</v>
      </c>
      <c r="N7" s="3">
        <f t="shared" si="4"/>
        <v>95.92</v>
      </c>
    </row>
    <row r="8" spans="1:14" x14ac:dyDescent="0.2">
      <c r="A8">
        <v>7</v>
      </c>
      <c r="B8" t="s">
        <v>9</v>
      </c>
      <c r="C8" s="1">
        <v>25559</v>
      </c>
      <c r="D8">
        <v>19.201000000000001</v>
      </c>
      <c r="E8">
        <v>84.010999999999996</v>
      </c>
      <c r="F8">
        <v>0.71809999999999996</v>
      </c>
      <c r="I8" s="3">
        <f t="shared" si="0"/>
        <v>4.0073062510779067</v>
      </c>
      <c r="J8" s="3">
        <f t="shared" si="1"/>
        <v>192.01</v>
      </c>
      <c r="K8" s="3">
        <f t="shared" si="2"/>
        <v>30664015</v>
      </c>
      <c r="L8" s="3">
        <f t="shared" si="5"/>
        <v>720.06505754203215</v>
      </c>
      <c r="M8" s="3">
        <f t="shared" si="3"/>
        <v>192.01</v>
      </c>
      <c r="N8" s="3">
        <f t="shared" si="4"/>
        <v>192.10999999999999</v>
      </c>
    </row>
    <row r="9" spans="1:14" x14ac:dyDescent="0.2">
      <c r="A9">
        <v>8</v>
      </c>
      <c r="B9" t="s">
        <v>10</v>
      </c>
      <c r="C9" s="1">
        <v>24764</v>
      </c>
      <c r="D9">
        <v>30.047000000000001</v>
      </c>
      <c r="E9">
        <v>164.79</v>
      </c>
      <c r="F9">
        <v>0.67120000000000002</v>
      </c>
      <c r="I9" s="3">
        <f t="shared" si="0"/>
        <v>3.8826609805427945</v>
      </c>
      <c r="J9" s="3">
        <f t="shared" si="1"/>
        <v>300.47000000000003</v>
      </c>
      <c r="K9" s="3">
        <f t="shared" si="2"/>
        <v>60148350</v>
      </c>
      <c r="L9" s="3">
        <f t="shared" si="5"/>
        <v>673.03671720124225</v>
      </c>
      <c r="M9" s="3">
        <f>J9</f>
        <v>300.47000000000003</v>
      </c>
      <c r="N9" s="3">
        <f t="shared" si="4"/>
        <v>300.57000000000005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グエン ヴァン　ドゥック</dc:creator>
  <cp:lastModifiedBy>グエン ヴァン　ドゥック</cp:lastModifiedBy>
  <dcterms:created xsi:type="dcterms:W3CDTF">2025-08-03T07:41:02Z</dcterms:created>
  <dcterms:modified xsi:type="dcterms:W3CDTF">2025-08-03T14:49:56Z</dcterms:modified>
</cp:coreProperties>
</file>